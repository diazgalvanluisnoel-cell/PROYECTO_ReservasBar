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uis Noel\Documents\NetBeansProjects\PROYECTO_Final1\"/>
    </mc:Choice>
  </mc:AlternateContent>
  <bookViews>
    <workbookView xWindow="0" yWindow="0" windowWidth="15345" windowHeight="4635" activeTab="1"/>
  </bookViews>
  <sheets>
    <sheet name="Historial" sheetId="1" r:id="rId1"/>
    <sheet name="Graficos" sheetId="2" r:id="rId2"/>
    <sheet name="Tablas" sheetId="3" r:id="rId3"/>
  </sheets>
  <definedNames>
    <definedName name="_xlcn.WorksheetConnection_TablasA6B181" hidden="1">Tablas!$A$6:$B$18</definedName>
  </definedNames>
  <calcPr calcId="152511"/>
  <extLst>
    <ext xmlns:x15="http://schemas.microsoft.com/office/spreadsheetml/2010/11/main" uri="{FCE2AD5D-F65C-4FA6-A056-5C36A1767C68}">
      <x15:dataModel>
        <x15:modelTables>
          <x15:modelTable id="Rango-00cd59a6-406c-4e0e-ae3e-646bcb50e1d8" name="Rango" connection="WorksheetConnection_Tablas!$A$6:$B$18"/>
        </x15:modelTables>
      </x15:dataModel>
    </ext>
  </extLst>
</workbook>
</file>

<file path=xl/calcChain.xml><?xml version="1.0" encoding="utf-8"?>
<calcChain xmlns="http://schemas.openxmlformats.org/spreadsheetml/2006/main">
  <c r="G11" i="3" l="1"/>
  <c r="G10" i="3"/>
  <c r="G9" i="3"/>
  <c r="G8" i="3"/>
  <c r="G7" i="3"/>
  <c r="G6" i="3"/>
  <c r="G5" i="3"/>
  <c r="G4" i="3"/>
  <c r="G3" i="3"/>
  <c r="G2" i="3"/>
  <c r="B2" i="3"/>
  <c r="D6" i="3"/>
  <c r="B12" i="3"/>
  <c r="B10" i="3"/>
  <c r="B18" i="3"/>
  <c r="B17" i="3"/>
  <c r="B16" i="3"/>
  <c r="B15" i="3"/>
  <c r="B14" i="3"/>
  <c r="B13" i="3"/>
  <c r="B11" i="3"/>
  <c r="B9" i="3"/>
  <c r="B8" i="3"/>
  <c r="B7" i="3"/>
  <c r="B3" i="3" l="1"/>
  <c r="B4" i="3"/>
</calcChain>
</file>

<file path=xl/connections.xml><?xml version="1.0" encoding="utf-8"?>
<connections xmlns="http://schemas.openxmlformats.org/spreadsheetml/2006/main">
  <connection id="1" keepAlive="1" name="ThisWorkbookDataModel" description="Modelo de dat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Tablas!$A$6:$B$18" type="102" refreshedVersion="5" minRefreshableVersion="5">
    <extLst>
      <ext xmlns:x15="http://schemas.microsoft.com/office/spreadsheetml/2010/11/main" uri="{DE250136-89BD-433C-8126-D09CA5730AF9}">
        <x15:connection id="Rango-00cd59a6-406c-4e0e-ae3e-646bcb50e1d8" autoDelete="1" usedByAddin="1">
          <x15:rangePr sourceName="_xlcn.WorksheetConnection_TablasA6B181"/>
        </x15:connection>
      </ext>
    </extLst>
  </connection>
</connections>
</file>

<file path=xl/sharedStrings.xml><?xml version="1.0" encoding="utf-8"?>
<sst xmlns="http://schemas.openxmlformats.org/spreadsheetml/2006/main" count="89" uniqueCount="58">
  <si>
    <t>ID - Reserva</t>
  </si>
  <si>
    <t>Nombre de Cliente</t>
  </si>
  <si>
    <t>Telefono #</t>
  </si>
  <si>
    <t>Fecha</t>
  </si>
  <si>
    <t>Hora</t>
  </si>
  <si>
    <t># de Mesa</t>
  </si>
  <si>
    <t>Personas</t>
  </si>
  <si>
    <t>Estado</t>
  </si>
  <si>
    <t>YORKY MAYOR HERNANDEZ</t>
  </si>
  <si>
    <t>18:00</t>
  </si>
  <si>
    <t>Completada</t>
  </si>
  <si>
    <t>AMANDA GONZALES</t>
  </si>
  <si>
    <t>56787643</t>
  </si>
  <si>
    <t>17:00</t>
  </si>
  <si>
    <t>GABRIEL NARANJO</t>
  </si>
  <si>
    <t>56478678</t>
  </si>
  <si>
    <t>Carmita</t>
  </si>
  <si>
    <t>48756456</t>
  </si>
  <si>
    <t>15:00</t>
  </si>
  <si>
    <t>Jesus Martinez</t>
  </si>
  <si>
    <t>59897632</t>
  </si>
  <si>
    <t>LAURA NIEVES GALVAN</t>
  </si>
  <si>
    <t>58532797</t>
  </si>
  <si>
    <t>20:00</t>
  </si>
  <si>
    <t>Luis Noel Diaz</t>
  </si>
  <si>
    <t>56615268</t>
  </si>
  <si>
    <t>Cancelada</t>
  </si>
  <si>
    <t>Sunilda Galvan Moreno</t>
  </si>
  <si>
    <t>54603084</t>
  </si>
  <si>
    <t>Pendiente</t>
  </si>
  <si>
    <t>Ernesto Santana</t>
  </si>
  <si>
    <t>54677899</t>
  </si>
  <si>
    <t>Orlando Perez</t>
  </si>
  <si>
    <t>56788906</t>
  </si>
  <si>
    <t>Bernardo Acosta</t>
  </si>
  <si>
    <t>59584678</t>
  </si>
  <si>
    <t>12:00</t>
  </si>
  <si>
    <t>Daniel Gonzales</t>
  </si>
  <si>
    <t>57896543</t>
  </si>
  <si>
    <t>16:00</t>
  </si>
  <si>
    <t>Cesar Paredes Cruz</t>
  </si>
  <si>
    <t>56892981</t>
  </si>
  <si>
    <t>Cantidad</t>
  </si>
  <si>
    <t>56787665</t>
  </si>
  <si>
    <t>Meses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</si>
  <si>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</si>
  <si>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</si>
  <si>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</si>
  <si>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</si>
  <si>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</si>
  <si>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</si>
  <si>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</si>
  <si>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</si>
  <si>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</si>
  <si>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</si>
  <si>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</si>
  <si>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</si>
  <si>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 xml:space="preserve">Mesas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</si>
</sst>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indexed="8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0"/>
      <color indexed="8"/>
      <name val="Arial Unicode MS"/>
      <family val="2"/>
    </font>
    <font>
      <sz val="11"/>
      <color indexed="8"/>
      <name val="Arial Rounded MT Bol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CFF93"/>
      <color rgb="FFEFF1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Estados %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Tablas!$B$1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rgbClr val="FCFF9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dLbl>
              <c:idx val="2"/>
              <c:layout>
                <c:manualLayout>
                  <c:x val="3.1403324584426899E-2"/>
                  <c:y val="0.1465620443277923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Tablas!$A$2:$A$4</c:f>
              <c:strCache>
                <c:ptCount val="3"/>
                <c:pt idx="0">
                  <c:v>Pendiente</c:v>
                </c:pt>
                <c:pt idx="1">
                  <c:v>Cancelada</c:v>
                </c:pt>
                <c:pt idx="2">
                  <c:v>Completada</c:v>
                </c:pt>
              </c:strCache>
            </c:strRef>
          </c:cat>
          <c:val>
            <c:numRef>
              <c:f>Tablas!$B$2:$B$4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6</c:v>
                </c:pt>
              </c:numCache>
            </c:numRef>
          </c:val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33705161854772"/>
          <c:y val="0.43065434529017205"/>
          <c:w val="0.18988517060367455"/>
          <c:h val="0.22653871391076116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Reservaciones en</a:t>
            </a:r>
            <a:r>
              <a:rPr lang="en-US" baseline="0"/>
              <a:t> Meses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Tablas!$B$6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Pt>
            <c:idx val="1"/>
            <c:invertIfNegative val="0"/>
            <c:bubble3D val="0"/>
            <c:spPr>
              <a:solidFill>
                <a:schemeClr val="accent6">
                  <a:alpha val="85000"/>
                </a:schemeClr>
              </a:solidFill>
              <a:ln w="9525" cap="flat" cmpd="sng" algn="ctr">
                <a:solidFill>
                  <a:schemeClr val="accent1">
                    <a:lumMod val="75000"/>
                  </a:schemeClr>
                </a:solidFill>
                <a:round/>
              </a:ln>
              <a:effectLst/>
              <a:sp3d contourW="9525">
                <a:contourClr>
                  <a:schemeClr val="accent1">
                    <a:lumMod val="75000"/>
                  </a:schemeClr>
                </a:contourClr>
              </a:sp3d>
            </c:spPr>
          </c:dPt>
          <c:cat>
            <c:strRef>
              <c:f>Tablas!$A$7:$A$18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Tablas!$B$7:$B$18</c:f>
              <c:numCache>
                <c:formatCode>General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4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452316784"/>
        <c:axId val="452317568"/>
        <c:axId val="0"/>
      </c:bar3DChart>
      <c:catAx>
        <c:axId val="452316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n-US"/>
          </a:p>
        </c:txPr>
        <c:crossAx val="452317568"/>
        <c:crosses val="autoZero"/>
        <c:auto val="1"/>
        <c:lblAlgn val="ctr"/>
        <c:lblOffset val="100"/>
        <c:noMultiLvlLbl val="0"/>
      </c:catAx>
      <c:valAx>
        <c:axId val="45231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n-US"/>
          </a:p>
        </c:txPr>
        <c:crossAx val="452316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Reservaciones en Mesas</a:t>
            </a:r>
          </a:p>
          <a:p>
            <a:pPr>
              <a:defRPr/>
            </a:pPr>
            <a:r>
              <a:rPr lang="en-US"/>
              <a:t> 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2094620247940709E-2"/>
          <c:y val="0.18379871760879588"/>
          <c:w val="0.93527227457682349"/>
          <c:h val="0.61828881419325787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Tablas!$G$1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Pt>
            <c:idx val="2"/>
            <c:invertIfNegative val="0"/>
            <c:bubble3D val="0"/>
            <c:spPr>
              <a:solidFill>
                <a:schemeClr val="accent6">
                  <a:alpha val="85000"/>
                </a:schemeClr>
              </a:solidFill>
              <a:ln w="9525" cap="flat" cmpd="sng" algn="ctr">
                <a:solidFill>
                  <a:schemeClr val="accent1">
                    <a:lumMod val="75000"/>
                  </a:schemeClr>
                </a:solidFill>
                <a:round/>
              </a:ln>
              <a:effectLst/>
              <a:sp3d contourW="9525">
                <a:contourClr>
                  <a:schemeClr val="accent1">
                    <a:lumMod val="75000"/>
                  </a:schemeClr>
                </a:contourClr>
              </a:sp3d>
            </c:spPr>
          </c:dPt>
          <c:val>
            <c:numRef>
              <c:f>Tablas!$G$2:$G$11</c:f>
              <c:numCache>
                <c:formatCode>General</c:formatCode>
                <c:ptCount val="10"/>
                <c:pt idx="0">
                  <c:v>2</c:v>
                </c:pt>
                <c:pt idx="1">
                  <c:v>0</c:v>
                </c:pt>
                <c:pt idx="2">
                  <c:v>9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455151128"/>
        <c:axId val="455162888"/>
        <c:axId val="0"/>
      </c:bar3DChart>
      <c:catAx>
        <c:axId val="455151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162888"/>
        <c:crosses val="autoZero"/>
        <c:auto val="1"/>
        <c:lblAlgn val="ctr"/>
        <c:lblOffset val="100"/>
        <c:noMultiLvlLbl val="0"/>
      </c:catAx>
      <c:valAx>
        <c:axId val="455162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accent6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n-US"/>
          </a:p>
        </c:txPr>
        <c:crossAx val="455151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7</xdr:col>
      <xdr:colOff>0</xdr:colOff>
      <xdr:row>16</xdr:row>
      <xdr:rowOff>76200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</xdr:row>
      <xdr:rowOff>0</xdr:rowOff>
    </xdr:from>
    <xdr:to>
      <xdr:col>14</xdr:col>
      <xdr:colOff>0</xdr:colOff>
      <xdr:row>16</xdr:row>
      <xdr:rowOff>76200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628650</xdr:colOff>
      <xdr:row>18</xdr:row>
      <xdr:rowOff>152400</xdr:rowOff>
    </xdr:from>
    <xdr:to>
      <xdr:col>8</xdr:col>
      <xdr:colOff>95250</xdr:colOff>
      <xdr:row>34</xdr:row>
      <xdr:rowOff>4763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0.03309</cdr:x>
      <cdr:y>0.95313</cdr:y>
    </cdr:from>
    <cdr:to>
      <cdr:x>0.13603</cdr:x>
      <cdr:y>0.99132</cdr:y>
    </cdr:to>
    <cdr:sp macro="" textlink="">
      <cdr:nvSpPr>
        <cdr:cNvPr id="2" name="CuadroTexto 1"/>
        <cdr:cNvSpPr txBox="1"/>
      </cdr:nvSpPr>
      <cdr:spPr>
        <a:xfrm xmlns:a="http://schemas.openxmlformats.org/drawingml/2006/main">
          <a:off x="171450" y="2614613"/>
          <a:ext cx="533400" cy="1047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</cdr:x>
      <cdr:y>0.8046</cdr:y>
    </cdr:from>
    <cdr:to>
      <cdr:x>0.11218</cdr:x>
      <cdr:y>0.88013</cdr:y>
    </cdr:to>
    <cdr:sp macro="" textlink="">
      <cdr:nvSpPr>
        <cdr:cNvPr id="3" name="CuadroTexto 2"/>
        <cdr:cNvSpPr txBox="1"/>
      </cdr:nvSpPr>
      <cdr:spPr>
        <a:xfrm xmlns:a="http://schemas.openxmlformats.org/drawingml/2006/main">
          <a:off x="0" y="2333624"/>
          <a:ext cx="666750" cy="2190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/>
            <a:t>#</a:t>
          </a:r>
          <a:r>
            <a:rPr lang="en-US" sz="1100" baseline="0"/>
            <a:t> </a:t>
          </a:r>
          <a:r>
            <a:rPr lang="en-US" sz="1100"/>
            <a:t>&gt;</a:t>
          </a:r>
        </a:p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</cdr:x>
      <cdr:y>0.09852</cdr:y>
    </cdr:from>
    <cdr:to>
      <cdr:x>0.14904</cdr:x>
      <cdr:y>0.17734</cdr:y>
    </cdr:to>
    <cdr:sp macro="" textlink="">
      <cdr:nvSpPr>
        <cdr:cNvPr id="4" name="CuadroTexto 3"/>
        <cdr:cNvSpPr txBox="1"/>
      </cdr:nvSpPr>
      <cdr:spPr>
        <a:xfrm xmlns:a="http://schemas.openxmlformats.org/drawingml/2006/main">
          <a:off x="0" y="285751"/>
          <a:ext cx="885824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>
              <a:solidFill>
                <a:schemeClr val="accent6"/>
              </a:solidFill>
              <a:latin typeface="Arial Rounded MT Bold" panose="020F0704030504030204" pitchFamily="34" charset="0"/>
            </a:rPr>
            <a:t>Reservas</a:t>
          </a:r>
        </a:p>
        <a:p xmlns:a="http://schemas.openxmlformats.org/drawingml/2006/main">
          <a:endParaRPr lang="en-US" sz="1100"/>
        </a:p>
      </cdr:txBody>
    </cdr:sp>
  </cdr:relSizeAnchor>
</c:userShap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selection activeCell="J6" sqref="J6"/>
    </sheetView>
  </sheetViews>
  <sheetFormatPr baseColWidth="10" defaultColWidth="9.140625" defaultRowHeight="15" x14ac:dyDescent="0.25"/>
  <cols>
    <col min="1" max="1" width="13.85546875" customWidth="1"/>
    <col min="2" max="2" width="27.5703125" customWidth="1"/>
    <col min="3" max="3" width="12.140625" customWidth="1"/>
    <col min="4" max="4" width="11.85546875" customWidth="1"/>
    <col min="5" max="5" width="9.7109375" customWidth="1"/>
    <col min="6" max="6" width="12" customWidth="1"/>
    <col min="7" max="7" width="10" customWidth="1"/>
    <col min="8" max="8" width="12.5703125" customWidth="1"/>
    <col min="11" max="11" width="13.28515625" customWidth="1"/>
  </cols>
  <sheetData>
    <row r="1" spans="1:12" ht="15.7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K1" s="2"/>
      <c r="L1" s="2"/>
    </row>
    <row r="2" spans="1:12" x14ac:dyDescent="0.25">
      <c r="A2" s="1">
        <v>6</v>
      </c>
      <c r="B2" t="s">
        <v>8</v>
      </c>
      <c r="C2" s="1" t="s">
        <v>43</v>
      </c>
      <c r="D2" s="4">
        <v>46055</v>
      </c>
      <c r="E2" s="1" t="s">
        <v>9</v>
      </c>
      <c r="F2" s="1">
        <v>3</v>
      </c>
      <c r="G2" s="1">
        <v>4</v>
      </c>
      <c r="H2" t="s">
        <v>10</v>
      </c>
    </row>
    <row r="3" spans="1:12" x14ac:dyDescent="0.25">
      <c r="A3" s="1">
        <v>3</v>
      </c>
      <c r="B3" t="s">
        <v>11</v>
      </c>
      <c r="C3" s="1" t="s">
        <v>12</v>
      </c>
      <c r="D3" s="4">
        <v>46056</v>
      </c>
      <c r="E3" s="1" t="s">
        <v>13</v>
      </c>
      <c r="F3" s="1">
        <v>3</v>
      </c>
      <c r="G3" s="1">
        <v>4</v>
      </c>
      <c r="H3" t="s">
        <v>10</v>
      </c>
    </row>
    <row r="4" spans="1:12" x14ac:dyDescent="0.25">
      <c r="A4" s="1">
        <v>7</v>
      </c>
      <c r="B4" t="s">
        <v>14</v>
      </c>
      <c r="C4" s="1" t="s">
        <v>15</v>
      </c>
      <c r="D4" s="4">
        <v>46058</v>
      </c>
      <c r="E4" s="1" t="s">
        <v>13</v>
      </c>
      <c r="F4" s="1">
        <v>3</v>
      </c>
      <c r="G4" s="1">
        <v>4</v>
      </c>
      <c r="H4" t="s">
        <v>10</v>
      </c>
    </row>
    <row r="5" spans="1:12" x14ac:dyDescent="0.25">
      <c r="A5" s="1">
        <v>12</v>
      </c>
      <c r="B5" t="s">
        <v>16</v>
      </c>
      <c r="C5" s="1" t="s">
        <v>17</v>
      </c>
      <c r="D5" s="4">
        <v>46059</v>
      </c>
      <c r="E5" s="1" t="s">
        <v>18</v>
      </c>
      <c r="F5" s="1">
        <v>6</v>
      </c>
      <c r="G5" s="1">
        <v>5</v>
      </c>
      <c r="H5" t="s">
        <v>10</v>
      </c>
    </row>
    <row r="6" spans="1:12" x14ac:dyDescent="0.25">
      <c r="A6" s="1">
        <v>5</v>
      </c>
      <c r="B6" t="s">
        <v>21</v>
      </c>
      <c r="C6" s="1" t="s">
        <v>22</v>
      </c>
      <c r="D6" s="4">
        <v>46067</v>
      </c>
      <c r="E6" s="1" t="s">
        <v>23</v>
      </c>
      <c r="F6" s="1">
        <v>1</v>
      </c>
      <c r="G6" s="1">
        <v>2</v>
      </c>
      <c r="H6" t="s">
        <v>10</v>
      </c>
    </row>
    <row r="7" spans="1:12" x14ac:dyDescent="0.25">
      <c r="A7" s="1">
        <v>8</v>
      </c>
      <c r="B7" t="s">
        <v>19</v>
      </c>
      <c r="C7" s="1" t="s">
        <v>20</v>
      </c>
      <c r="D7" s="4">
        <v>46067</v>
      </c>
      <c r="E7" s="1" t="s">
        <v>9</v>
      </c>
      <c r="F7" s="1">
        <v>6</v>
      </c>
      <c r="G7" s="1">
        <v>5</v>
      </c>
      <c r="H7" t="s">
        <v>10</v>
      </c>
    </row>
    <row r="8" spans="1:12" x14ac:dyDescent="0.25">
      <c r="A8" s="1">
        <v>1</v>
      </c>
      <c r="B8" t="s">
        <v>24</v>
      </c>
      <c r="C8" s="1" t="s">
        <v>25</v>
      </c>
      <c r="D8" s="4">
        <v>46075</v>
      </c>
      <c r="E8" s="1" t="s">
        <v>9</v>
      </c>
      <c r="F8" s="1">
        <v>3</v>
      </c>
      <c r="G8" s="1">
        <v>4</v>
      </c>
      <c r="H8" t="s">
        <v>26</v>
      </c>
    </row>
    <row r="9" spans="1:12" x14ac:dyDescent="0.25">
      <c r="A9" s="1">
        <v>2</v>
      </c>
      <c r="B9" t="s">
        <v>27</v>
      </c>
      <c r="C9" s="1" t="s">
        <v>28</v>
      </c>
      <c r="D9" s="4">
        <v>46081</v>
      </c>
      <c r="E9" s="1" t="s">
        <v>9</v>
      </c>
      <c r="F9" s="1">
        <v>3</v>
      </c>
      <c r="G9" s="1">
        <v>3</v>
      </c>
      <c r="H9" t="s">
        <v>29</v>
      </c>
    </row>
    <row r="10" spans="1:12" x14ac:dyDescent="0.25">
      <c r="A10" s="1">
        <v>13</v>
      </c>
      <c r="B10" t="s">
        <v>30</v>
      </c>
      <c r="C10" s="1" t="s">
        <v>31</v>
      </c>
      <c r="D10" s="4">
        <v>46085</v>
      </c>
      <c r="E10" s="1" t="s">
        <v>13</v>
      </c>
      <c r="F10" s="1">
        <v>8</v>
      </c>
      <c r="G10" s="1">
        <v>8</v>
      </c>
      <c r="H10" t="s">
        <v>29</v>
      </c>
    </row>
    <row r="11" spans="1:12" x14ac:dyDescent="0.25">
      <c r="A11" s="1">
        <v>11</v>
      </c>
      <c r="B11" t="s">
        <v>32</v>
      </c>
      <c r="C11" s="1" t="s">
        <v>33</v>
      </c>
      <c r="D11" s="4">
        <v>46086</v>
      </c>
      <c r="E11" s="1" t="s">
        <v>13</v>
      </c>
      <c r="F11" s="1">
        <v>3</v>
      </c>
      <c r="G11" s="1">
        <v>4</v>
      </c>
      <c r="H11" t="s">
        <v>29</v>
      </c>
    </row>
    <row r="12" spans="1:12" x14ac:dyDescent="0.25">
      <c r="A12" s="1">
        <v>4</v>
      </c>
      <c r="B12" t="s">
        <v>24</v>
      </c>
      <c r="C12" s="1" t="s">
        <v>25</v>
      </c>
      <c r="D12" s="4">
        <v>46093</v>
      </c>
      <c r="E12" s="1" t="s">
        <v>13</v>
      </c>
      <c r="F12" s="1">
        <v>1</v>
      </c>
      <c r="G12" s="1">
        <v>2</v>
      </c>
      <c r="H12" t="s">
        <v>29</v>
      </c>
    </row>
    <row r="13" spans="1:12" x14ac:dyDescent="0.25">
      <c r="A13" s="1">
        <v>10</v>
      </c>
      <c r="B13" t="s">
        <v>34</v>
      </c>
      <c r="C13" s="1" t="s">
        <v>35</v>
      </c>
      <c r="D13" s="4">
        <v>46094</v>
      </c>
      <c r="E13" s="1" t="s">
        <v>36</v>
      </c>
      <c r="F13" s="1">
        <v>3</v>
      </c>
      <c r="G13" s="1">
        <v>3</v>
      </c>
      <c r="H13" t="s">
        <v>26</v>
      </c>
    </row>
    <row r="14" spans="1:12" x14ac:dyDescent="0.25">
      <c r="A14" s="1">
        <v>14</v>
      </c>
      <c r="B14" t="s">
        <v>37</v>
      </c>
      <c r="C14" s="1" t="s">
        <v>38</v>
      </c>
      <c r="D14" s="4">
        <v>46118</v>
      </c>
      <c r="E14" s="1" t="s">
        <v>39</v>
      </c>
      <c r="F14" s="1">
        <v>3</v>
      </c>
      <c r="G14" s="1">
        <v>4</v>
      </c>
      <c r="H14" t="s">
        <v>29</v>
      </c>
    </row>
    <row r="15" spans="1:12" x14ac:dyDescent="0.25">
      <c r="A15" s="1">
        <v>9</v>
      </c>
      <c r="B15" t="s">
        <v>24</v>
      </c>
      <c r="C15" s="1" t="s">
        <v>25</v>
      </c>
      <c r="D15" s="4">
        <v>46125</v>
      </c>
      <c r="E15" s="1" t="s">
        <v>39</v>
      </c>
      <c r="F15" s="1">
        <v>3</v>
      </c>
      <c r="G15" s="1">
        <v>3</v>
      </c>
      <c r="H15" t="s">
        <v>29</v>
      </c>
    </row>
    <row r="16" spans="1:12" x14ac:dyDescent="0.25">
      <c r="A16" s="1">
        <v>15</v>
      </c>
      <c r="B16" t="s">
        <v>40</v>
      </c>
      <c r="C16" s="1" t="s">
        <v>41</v>
      </c>
      <c r="D16" s="4">
        <v>46179</v>
      </c>
      <c r="E16" s="1" t="s">
        <v>23</v>
      </c>
      <c r="F16" s="1">
        <v>6</v>
      </c>
      <c r="G16" s="1">
        <v>5</v>
      </c>
      <c r="H16" t="s">
        <v>29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>
      <selection activeCell="N25" sqref="N25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topLeftCell="C1" workbookViewId="0">
      <selection activeCell="K20" sqref="K20"/>
    </sheetView>
  </sheetViews>
  <sheetFormatPr baseColWidth="10" defaultRowHeight="15" x14ac:dyDescent="0.25"/>
  <cols>
    <col min="1" max="1" width="14.140625" customWidth="1"/>
    <col min="2" max="2" width="10.7109375" customWidth="1"/>
  </cols>
  <sheetData>
    <row r="1" spans="1:7" ht="15" customHeight="1" x14ac:dyDescent="0.25">
      <c r="A1" s="2" t="s">
        <v>7</v>
      </c>
      <c r="B1" s="2" t="s">
        <v>42</v>
      </c>
      <c r="F1" s="3" t="s">
        <v>57</v>
      </c>
      <c r="G1" s="6" t="s">
        <v>42</v>
      </c>
    </row>
    <row r="2" spans="1:7" x14ac:dyDescent="0.25">
      <c r="A2" t="s">
        <v>29</v>
      </c>
      <c r="B2" s="1">
        <f>COUNTIF(Historial!H:H,"Completada")</f>
        <v>6</v>
      </c>
      <c r="F2" s="1">
        <v>1</v>
      </c>
      <c r="G2">
        <f>COUNTIF(Historial!F:F, "1")</f>
        <v>2</v>
      </c>
    </row>
    <row r="3" spans="1:7" x14ac:dyDescent="0.25">
      <c r="A3" t="s">
        <v>26</v>
      </c>
      <c r="B3" s="1">
        <f>COUNTIF(Historial!H:H,"Cancelada")</f>
        <v>2</v>
      </c>
      <c r="F3" s="1">
        <v>2</v>
      </c>
      <c r="G3">
        <f>COUNTIF(Historial!F:F, "2")</f>
        <v>0</v>
      </c>
    </row>
    <row r="4" spans="1:7" x14ac:dyDescent="0.25">
      <c r="A4" t="s">
        <v>10</v>
      </c>
      <c r="B4" s="1">
        <f>COUNTIF(Historial!H:H,"Completada")</f>
        <v>6</v>
      </c>
      <c r="F4" s="1">
        <v>3</v>
      </c>
      <c r="G4">
        <f>COUNTIF(Historial!F:F, "3")</f>
        <v>9</v>
      </c>
    </row>
    <row r="5" spans="1:7" x14ac:dyDescent="0.25">
      <c r="F5" s="1">
        <v>4</v>
      </c>
      <c r="G5">
        <f>COUNTIF(Historial!F:F, "4")</f>
        <v>0</v>
      </c>
    </row>
    <row r="6" spans="1:7" x14ac:dyDescent="0.25">
      <c r="A6" s="3" t="s">
        <v>44</v>
      </c>
      <c r="B6" s="3" t="s">
        <v>42</v>
      </c>
      <c r="D6" s="5">
        <f>MAX(B6:B17)</f>
        <v>8</v>
      </c>
      <c r="F6" s="1">
        <v>5</v>
      </c>
      <c r="G6">
        <f>COUNTIF(Historial!F:F, "5")</f>
        <v>0</v>
      </c>
    </row>
    <row r="7" spans="1:7" x14ac:dyDescent="0.25">
      <c r="A7" s="1" t="s">
        <v>45</v>
      </c>
      <c r="B7" s="1">
        <f>COUNTIFS(Historial!D:D, "&gt;="&amp;DATE(2026,1,1),Historial!D:D, "&lt;="&amp;DATE(2026,1,31))</f>
        <v>0</v>
      </c>
      <c r="F7" s="1">
        <v>6</v>
      </c>
      <c r="G7">
        <f>COUNTIF(Historial!F:F, "6")</f>
        <v>3</v>
      </c>
    </row>
    <row r="8" spans="1:7" x14ac:dyDescent="0.25">
      <c r="A8" s="1" t="s">
        <v>46</v>
      </c>
      <c r="B8" s="1">
        <f>COUNTIFS(Historial!D:D, "&gt;="&amp;DATE(2026,2,1),Historial!D:D, "&lt;="&amp;DATE(2026,2,29))</f>
        <v>8</v>
      </c>
      <c r="F8" s="1">
        <v>7</v>
      </c>
      <c r="G8">
        <f>COUNTIF(Historial!F:F, "7")</f>
        <v>0</v>
      </c>
    </row>
    <row r="9" spans="1:7" x14ac:dyDescent="0.25">
      <c r="A9" s="1" t="s">
        <v>47</v>
      </c>
      <c r="B9" s="1">
        <f>COUNTIFS(Historial!D:D, "&gt;="&amp;DATE(2026,3,1),Historial!D:D, "&lt;="&amp;DATE(2026,3,31))</f>
        <v>4</v>
      </c>
      <c r="F9" s="1">
        <v>8</v>
      </c>
      <c r="G9">
        <f>COUNTIF(Historial!F:F, "8")</f>
        <v>1</v>
      </c>
    </row>
    <row r="10" spans="1:7" x14ac:dyDescent="0.25">
      <c r="A10" s="1" t="s">
        <v>48</v>
      </c>
      <c r="B10" s="1">
        <f>COUNTIFS(Historial!D:D, "&gt;="&amp;DATE(2026,4,1),Historial!D:D, "&lt;="&amp;DATE(2026,4,30))</f>
        <v>2</v>
      </c>
      <c r="F10" s="1">
        <v>9</v>
      </c>
      <c r="G10">
        <f>COUNTIF(Historial!F:F, "9")</f>
        <v>0</v>
      </c>
    </row>
    <row r="11" spans="1:7" x14ac:dyDescent="0.25">
      <c r="A11" s="1" t="s">
        <v>49</v>
      </c>
      <c r="B11" s="1">
        <f>COUNTIFS(Historial!D:D, "&gt;="&amp;DATE(2026,5,1),Historial!D:D, "&lt;="&amp;DATE(2026,5,31))</f>
        <v>0</v>
      </c>
      <c r="F11" s="1">
        <v>10</v>
      </c>
      <c r="G11">
        <f>COUNTIF(Historial!F:F, "10")</f>
        <v>0</v>
      </c>
    </row>
    <row r="12" spans="1:7" x14ac:dyDescent="0.25">
      <c r="A12" s="1" t="s">
        <v>50</v>
      </c>
      <c r="B12" s="1">
        <f>COUNTIFS(Historial!D:D, "&gt;="&amp;DATE(2026,6,1),Historial!D:D, "&lt;="&amp;DATE(2026,6,30))</f>
        <v>1</v>
      </c>
    </row>
    <row r="13" spans="1:7" x14ac:dyDescent="0.25">
      <c r="A13" s="1" t="s">
        <v>51</v>
      </c>
      <c r="B13" s="1">
        <f>COUNTIFS(Historial!D:D, "&gt;="&amp;DATE(2026,7,1),Historial!D:D, "&lt;="&amp;DATE(2026,7,31))</f>
        <v>0</v>
      </c>
    </row>
    <row r="14" spans="1:7" x14ac:dyDescent="0.25">
      <c r="A14" s="1" t="s">
        <v>52</v>
      </c>
      <c r="B14" s="1">
        <f>COUNTIFS(Historial!D:D, "&gt;="&amp;DATE(2026,8,1),Historial!D:D, "&lt;="&amp;DATE(2026,8,31))</f>
        <v>0</v>
      </c>
    </row>
    <row r="15" spans="1:7" x14ac:dyDescent="0.25">
      <c r="A15" s="1" t="s">
        <v>53</v>
      </c>
      <c r="B15" s="1">
        <f>COUNTIFS(Historial!D:D, "&gt;="&amp;DATE(2026,9,1),Historial!D:D, "&lt;="&amp;DATE(2026,9,31))</f>
        <v>0</v>
      </c>
    </row>
    <row r="16" spans="1:7" x14ac:dyDescent="0.25">
      <c r="A16" s="1" t="s">
        <v>54</v>
      </c>
      <c r="B16" s="1">
        <f>COUNTIFS(Historial!D:D, "&gt;="&amp;DATE(2026,10,1),Historial!D:D, "&lt;="&amp;DATE(2026,10,31))</f>
        <v>0</v>
      </c>
    </row>
    <row r="17" spans="1:2" x14ac:dyDescent="0.25">
      <c r="A17" s="1" t="s">
        <v>55</v>
      </c>
      <c r="B17" s="1">
        <f>COUNTIFS(Historial!D:D, "&gt;="&amp;DATE(2026,11,1),Historial!D:D, "&lt;="&amp;DATE(2026,11,31))</f>
        <v>0</v>
      </c>
    </row>
    <row r="18" spans="1:2" x14ac:dyDescent="0.25">
      <c r="A18" s="1" t="s">
        <v>56</v>
      </c>
      <c r="B18" s="1">
        <f>COUNTIFS(Historial!D:D, "&gt;="&amp;DATE(2026,12,1),Historial!D:D, "&lt;="&amp;DATE(2026,12,31))</f>
        <v>0</v>
      </c>
    </row>
    <row r="20" spans="1:2" x14ac:dyDescent="0.25">
      <c r="A20" s="3"/>
      <c r="B20" s="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Historial</vt:lpstr>
      <vt:lpstr>Graficos</vt:lpstr>
      <vt:lpstr>Tablas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Luis Noel</cp:lastModifiedBy>
  <dcterms:created xsi:type="dcterms:W3CDTF">2026-02-22T17:16:17Z</dcterms:created>
  <dcterms:modified xsi:type="dcterms:W3CDTF">2026-02-22T22:38:24Z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icrosoft.ReportingServices.InteractiveReport.Excel.SheetName">
    <vt:i4>2</vt:i4>
  </property>
</Properties>
</file>
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s Noel\Documents\NetBeansProjects\PROYECTO_Final1\"/>
    </mc:Choice>
  </mc:AlternateContent>
  <bookViews>
    <workbookView xWindow="0" yWindow="0" windowWidth="15345" windowHeight="4635"/>
  </bookViews>
  <sheets>
    <sheet name="Historial" sheetId="1" r:id="rId1"/>
    <sheet name="Graficos" sheetId="2" r:id="rId2"/>
    <sheet name="Tablas" sheetId="3" r:id="rId3"/>
  </sheets>
  <definedNames>
    <definedName name="_xlcn.WorksheetConnection_TablasA6B18" hidden="1">Tablas!$A$6:$B$18</definedName>
  </definedNames>
  <calcPr calcId="152511"/>
  <extLst>
    <ext xmlns:x15="http://schemas.microsoft.com/office/spreadsheetml/2010/11/main" uri="{FCE2AD5D-F65C-4FA6-A056-5C36A1767C68}">
      <x15:dataModel>
        <x15:modelTables>
          <x15:modelTable id="Rango-00cd59a6-406c-4e0e-ae3e-646bcb50e1d8" name="Rango" connection="WorksheetConnection_Tablas!$A$6:$B$18"/>
        </x15:modelTables>
      </x15:dataModel>
    </ext>
  </extLst>
</workbook>
</file>

<file path=xl/calcChain.xml><?xml version="1.0" encoding="utf-8"?>
<calcChain xmlns="http://schemas.openxmlformats.org/spreadsheetml/2006/main">
  <c r="B9" i="3" l="1"/>
  <c r="B8" i="3"/>
  <c r="B7" i="3"/>
  <c r="G7" i="3"/>
  <c r="B10" i="3"/>
  <c r="B12" i="3"/>
  <c r="G11" i="3"/>
  <c r="G10" i="3"/>
  <c r="G9" i="3"/>
  <c r="G8" i="3"/>
  <c r="G6" i="3"/>
  <c r="G5" i="3"/>
  <c r="G3" i="3"/>
  <c r="G2" i="3"/>
  <c r="G4" i="3"/>
  <c r="B2" i="3"/>
  <c r="B3" i="3" l="1"/>
  <c r="B4" i="3"/>
  <c r="B18" i="3" l="1"/>
  <c r="B17" i="3"/>
  <c r="B16" i="3"/>
  <c r="B15" i="3"/>
  <c r="B14" i="3"/>
  <c r="B13" i="3"/>
  <c r="B11" i="3"/>
  <c r="D6" i="3" l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Tablas!$A$6:$B$18" type="102" refreshedVersion="5" minRefreshableVersion="5">
    <extLst>
      <ext xmlns:x15="http://schemas.microsoft.com/office/spreadsheetml/2010/11/main" uri="{DE250136-89BD-433C-8126-D09CA5730AF9}">
        <x15:connection id="Rango-00cd59a6-406c-4e0e-ae3e-646bcb50e1d8" autoDelete="1" usedByAddin="1">
          <x15:rangePr sourceName="_xlcn.WorksheetConnection_TablasA6B18"/>
        </x15:connection>
      </ext>
    </extLst>
  </connection>
</connections>
</file>

<file path=xl/sharedStrings.xml><?xml version="1.0" encoding="utf-8"?>
<sst xmlns="http://schemas.openxmlformats.org/spreadsheetml/2006/main" count="109" uniqueCount="71">
  <si>
    <t>ID - Reserva</t>
  </si>
  <si>
    <t>Nombre de Cliente</t>
  </si>
  <si>
    <t>Telefono #</t>
  </si>
  <si>
    <t>Fecha</t>
  </si>
  <si>
    <t>Hora</t>
  </si>
  <si>
    <t># de Mesa</t>
  </si>
  <si>
    <t>Personas</t>
  </si>
  <si>
    <t>Estado</t>
  </si>
  <si>
    <t>YORKY MAYOR HERNANDEZ</t>
  </si>
  <si>
    <t>18:00</t>
  </si>
  <si>
    <t>Completada</t>
  </si>
  <si>
    <t>AMANDA GONZALES</t>
  </si>
  <si>
    <t>56787643</t>
  </si>
  <si>
    <t>17:00</t>
  </si>
  <si>
    <t>GABRIEL NARANJO</t>
  </si>
  <si>
    <t>56478678</t>
  </si>
  <si>
    <t>Jesus Martinez</t>
  </si>
  <si>
    <t>59897632</t>
  </si>
  <si>
    <t>LAURA NIEVES GALVAN</t>
  </si>
  <si>
    <t>58532797</t>
  </si>
  <si>
    <t>20:00</t>
  </si>
  <si>
    <t>Luis Noel Diaz</t>
  </si>
  <si>
    <t>56615268</t>
  </si>
  <si>
    <t>Cancelada</t>
  </si>
  <si>
    <t>Sunilda Galvan Moreno</t>
  </si>
  <si>
    <t>54603084</t>
  </si>
  <si>
    <t>Pendiente</t>
  </si>
  <si>
    <t>Ernesto Santana</t>
  </si>
  <si>
    <t>54677899</t>
  </si>
  <si>
    <t>Orlando Perez</t>
  </si>
  <si>
    <t>56788906</t>
  </si>
  <si>
    <t>Bernardo Acosta</t>
  </si>
  <si>
    <t>59584678</t>
  </si>
  <si>
    <t>12:00</t>
  </si>
  <si>
    <t>16:00</t>
  </si>
  <si>
    <t>Cesar Paredes Cruz</t>
  </si>
  <si>
    <t>56892981</t>
  </si>
  <si>
    <t>Cantidad</t>
  </si>
  <si>
    <t>56787665</t>
  </si>
  <si>
    <t>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</si>
  <si>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</si>
  <si>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</si>
  <si>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</si>
  <si>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</si>
  <si>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</si>
  <si>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</si>
  <si>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</si>
  <si>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</si>
  <si>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</si>
  <si>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</si>
  <si>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</si>
  <si>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</si>
  <si>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Mesas </t>
  </si>
  <si>
    <t>Yoshio Arada Leon</t>
  </si>
  <si>
    <t>56405717</t>
  </si>
  <si>
    <t>Emilio Hernandez</t>
  </si>
  <si>
    <t>54575891</t>
  </si>
  <si>
    <t>08:00</t>
  </si>
  <si>
    <t>Mario Paredes</t>
  </si>
  <si>
    <t>56900971</t>
  </si>
  <si>
    <t>Mario Portilla</t>
  </si>
  <si>
    <t>56899090</t>
  </si>
  <si>
    <t>Omar Menendez</t>
  </si>
  <si>
    <t>52303898</t>
  </si>
  <si>
    <t>Claudia Rodriguez</t>
  </si>
  <si>
    <t>56784567</t>
  </si>
  <si>
    <t>Lisandra Perez</t>
  </si>
  <si>
    <t>54788090</t>
  </si>
  <si>
    <t>Celina Galeano</t>
  </si>
  <si>
    <t>54676776</t>
  </si>
  <si>
    <t>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</si>
</sst>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 Unicode MS"/>
      <family val="2"/>
    </font>
    <font>
      <sz val="11"/>
      <color indexed="8"/>
      <name val="Arial Rounded MT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FF93"/>
      <color rgb="FFEFF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Estados %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Tablas!$B$1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rgbClr val="FCFF9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2"/>
              <c:layout>
                <c:manualLayout>
                  <c:x val="3.1403324584426899E-2"/>
                  <c:y val="0.1465620443277923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Tablas!$A$2:$A$4</c:f>
              <c:strCache>
                <c:ptCount val="3"/>
                <c:pt idx="0">
                  <c:v>Pendiente</c:v>
                </c:pt>
                <c:pt idx="1">
                  <c:v>Cancelada</c:v>
                </c:pt>
                <c:pt idx="2">
                  <c:v>Completada</c:v>
                </c:pt>
              </c:strCache>
            </c:strRef>
          </c:cat>
          <c:val>
            <c:numRef>
              <c:f>Tablas!$B$2:$B$4</c:f>
              <c:numCache>
                <c:formatCode>General</c:formatCode>
                <c:ptCount val="3"/>
                <c:pt idx="0">
                  <c:v>11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33705161854772"/>
          <c:y val="0.43065434529017205"/>
          <c:w val="0.18988517060367455"/>
          <c:h val="0.2265387139107611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Reservaciones en Meses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Tablas!$B$6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</c:dPt>
          <c:cat>
            <c:strRef>
              <c:f>Tablas!$A$7:$A$18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Tablas!$B$7:$B$18</c:f>
              <c:numCache>
                <c:formatCode>General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11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29692816"/>
        <c:axId val="229693200"/>
        <c:axId val="0"/>
      </c:bar3DChart>
      <c:catAx>
        <c:axId val="22969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93200"/>
        <c:crosses val="autoZero"/>
        <c:auto val="1"/>
        <c:lblAlgn val="ctr"/>
        <c:lblOffset val="100"/>
        <c:noMultiLvlLbl val="0"/>
      </c:catAx>
      <c:valAx>
        <c:axId val="22969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69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Reservaciones en Mesas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094620247940709E-2"/>
          <c:y val="0.18379871760879588"/>
          <c:w val="0.93527227457682349"/>
          <c:h val="0.6182888141932578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Tablas!$G$1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</c:dPt>
          <c:val>
            <c:numRef>
              <c:f>Tablas!$G$2:$G$11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29690768"/>
        <c:axId val="229751776"/>
        <c:axId val="0"/>
      </c:bar3DChart>
      <c:catAx>
        <c:axId val="22969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51776"/>
        <c:crosses val="autoZero"/>
        <c:auto val="1"/>
        <c:lblAlgn val="ctr"/>
        <c:lblOffset val="100"/>
        <c:noMultiLvlLbl val="0"/>
      </c:catAx>
      <c:valAx>
        <c:axId val="22975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6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en-US"/>
          </a:p>
        </c:txPr>
        <c:crossAx val="22969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0</xdr:colOff>
      <xdr:row>16</xdr:row>
      <xdr:rowOff>76200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0</xdr:colOff>
      <xdr:row>16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628650</xdr:colOff>
      <xdr:row>18</xdr:row>
      <xdr:rowOff>152400</xdr:rowOff>
    </xdr:from>
    <xdr:to>
      <xdr:col>8</xdr:col>
      <xdr:colOff>95250</xdr:colOff>
      <xdr:row>34</xdr:row>
      <xdr:rowOff>4763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0.03309</cdr:x>
      <cdr:y>0.95313</cdr:y>
    </cdr:from>
    <cdr:to>
      <cdr:x>0.13603</cdr:x>
      <cdr:y>0.99132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171450" y="2614613"/>
          <a:ext cx="533400" cy="104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0.8046</cdr:y>
    </cdr:from>
    <cdr:to>
      <cdr:x>0.11218</cdr:x>
      <cdr:y>0.88013</cdr:y>
    </cdr:to>
    <cdr:sp macro="" textlink="">
      <cdr:nvSpPr>
        <cdr:cNvPr id="3" name="CuadroTexto 2"/>
        <cdr:cNvSpPr txBox="1"/>
      </cdr:nvSpPr>
      <cdr:spPr>
        <a:xfrm xmlns:a="http://schemas.openxmlformats.org/drawingml/2006/main">
          <a:off x="0" y="2333624"/>
          <a:ext cx="666750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#</a:t>
          </a:r>
          <a:r>
            <a:rPr lang="en-US" sz="1100" baseline="0"/>
            <a:t> </a:t>
          </a:r>
          <a:r>
            <a:rPr lang="en-US" sz="1100"/>
            <a:t>&gt;</a:t>
          </a: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0.09852</cdr:y>
    </cdr:from>
    <cdr:to>
      <cdr:x>0.14904</cdr:x>
      <cdr:y>0.17734</cdr:y>
    </cdr:to>
    <cdr:sp macro="" textlink="">
      <cdr:nvSpPr>
        <cdr:cNvPr id="4" name="CuadroTexto 3"/>
        <cdr:cNvSpPr txBox="1"/>
      </cdr:nvSpPr>
      <cdr:spPr>
        <a:xfrm xmlns:a="http://schemas.openxmlformats.org/drawingml/2006/main">
          <a:off x="0" y="285751"/>
          <a:ext cx="885824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accent6"/>
              </a:solidFill>
              <a:latin typeface="Arial Rounded MT Bold" panose="020F0704030504030204" pitchFamily="34" charset="0"/>
            </a:rPr>
            <a:t>Reservas</a:t>
          </a: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1" max="1" width="13.85546875" customWidth="1"/>
    <col min="2" max="2" width="27.5703125" customWidth="1"/>
    <col min="3" max="3" width="12.140625" customWidth="1"/>
    <col min="4" max="4" width="11.85546875" customWidth="1"/>
    <col min="5" max="5" width="9.7109375" customWidth="1"/>
    <col min="6" max="6" width="12" customWidth="1"/>
    <col min="7" max="7" width="10" customWidth="1"/>
    <col min="8" max="8" width="12.5703125" customWidth="1"/>
    <col min="11" max="11" width="13.28515625" customWidth="1"/>
  </cols>
  <sheetData>
    <row r="1" spans="1:12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2"/>
      <c r="L1" s="2"/>
    </row>
    <row r="2" spans="1:12" x14ac:dyDescent="0.25">
      <c r="A2">
        <v>6</v>
      </c>
      <c r="B2" t="s">
        <v>8</v>
      </c>
      <c r="C2" t="s">
        <v>38</v>
      </c>
      <c r="D2" s="6">
        <v>46055</v>
      </c>
      <c r="E2" t="s">
        <v>9</v>
      </c>
      <c r="F2">
        <v>3</v>
      </c>
      <c r="G2">
        <v>4</v>
      </c>
      <c r="H2" t="s">
        <v>10</v>
      </c>
    </row>
    <row r="3" spans="1:12" x14ac:dyDescent="0.25">
      <c r="A3">
        <v>3</v>
      </c>
      <c r="B3" t="s">
        <v>11</v>
      </c>
      <c r="C3" t="s">
        <v>12</v>
      </c>
      <c r="D3" s="6">
        <v>46056</v>
      </c>
      <c r="E3" t="s">
        <v>13</v>
      </c>
      <c r="F3">
        <v>3</v>
      </c>
      <c r="G3">
        <v>4</v>
      </c>
      <c r="H3" t="s">
        <v>10</v>
      </c>
    </row>
    <row r="4" spans="1:12" x14ac:dyDescent="0.25">
      <c r="A4">
        <v>7</v>
      </c>
      <c r="B4" t="s">
        <v>14</v>
      </c>
      <c r="C4" t="s">
        <v>15</v>
      </c>
      <c r="D4" s="6">
        <v>46058</v>
      </c>
      <c r="E4" t="s">
        <v>13</v>
      </c>
      <c r="F4">
        <v>3</v>
      </c>
      <c r="G4">
        <v>4</v>
      </c>
      <c r="H4" t="s">
        <v>10</v>
      </c>
    </row>
    <row r="5" spans="1:12" x14ac:dyDescent="0.25">
      <c r="A5">
        <v>5</v>
      </c>
      <c r="B5" t="s">
        <v>18</v>
      </c>
      <c r="C5" t="s">
        <v>19</v>
      </c>
      <c r="D5" s="6">
        <v>46067</v>
      </c>
      <c r="E5" t="s">
        <v>20</v>
      </c>
      <c r="F5">
        <v>1</v>
      </c>
      <c r="G5">
        <v>2</v>
      </c>
      <c r="H5" t="s">
        <v>10</v>
      </c>
    </row>
    <row r="6" spans="1:12" x14ac:dyDescent="0.25">
      <c r="A6">
        <v>8</v>
      </c>
      <c r="B6" t="s">
        <v>16</v>
      </c>
      <c r="C6" t="s">
        <v>17</v>
      </c>
      <c r="D6" s="6">
        <v>46067</v>
      </c>
      <c r="E6" t="s">
        <v>9</v>
      </c>
      <c r="F6">
        <v>6</v>
      </c>
      <c r="G6">
        <v>5</v>
      </c>
      <c r="H6" t="s">
        <v>10</v>
      </c>
    </row>
    <row r="7" spans="1:12" x14ac:dyDescent="0.25">
      <c r="A7">
        <v>1</v>
      </c>
      <c r="B7" t="s">
        <v>21</v>
      </c>
      <c r="C7" t="s">
        <v>22</v>
      </c>
      <c r="D7" s="6">
        <v>46075</v>
      </c>
      <c r="E7" t="s">
        <v>9</v>
      </c>
      <c r="F7">
        <v>3</v>
      </c>
      <c r="G7">
        <v>4</v>
      </c>
      <c r="H7" t="s">
        <v>23</v>
      </c>
    </row>
    <row r="8" spans="1:12" x14ac:dyDescent="0.25">
      <c r="A8">
        <v>2</v>
      </c>
      <c r="B8" t="s">
        <v>24</v>
      </c>
      <c r="C8" t="s">
        <v>25</v>
      </c>
      <c r="D8" s="6">
        <v>46081</v>
      </c>
      <c r="E8" t="s">
        <v>9</v>
      </c>
      <c r="F8">
        <v>3</v>
      </c>
      <c r="G8">
        <v>3</v>
      </c>
      <c r="H8" t="s">
        <v>26</v>
      </c>
    </row>
    <row r="9" spans="1:12" x14ac:dyDescent="0.25">
      <c r="A9">
        <v>16</v>
      </c>
      <c r="B9" t="s">
        <v>53</v>
      </c>
      <c r="C9" t="s">
        <v>54</v>
      </c>
      <c r="D9" s="6">
        <v>46084</v>
      </c>
      <c r="E9" t="s">
        <v>9</v>
      </c>
      <c r="F9">
        <v>6</v>
      </c>
      <c r="G9">
        <v>6</v>
      </c>
      <c r="H9" t="s">
        <v>26</v>
      </c>
    </row>
    <row r="10" spans="1:12" x14ac:dyDescent="0.25">
      <c r="A10">
        <v>13</v>
      </c>
      <c r="B10" t="s">
        <v>27</v>
      </c>
      <c r="C10" t="s">
        <v>28</v>
      </c>
      <c r="D10" s="6">
        <v>46085</v>
      </c>
      <c r="E10" t="s">
        <v>13</v>
      </c>
      <c r="F10">
        <v>8</v>
      </c>
      <c r="G10">
        <v>8</v>
      </c>
      <c r="H10" t="s">
        <v>26</v>
      </c>
    </row>
    <row r="11" spans="1:12" x14ac:dyDescent="0.25">
      <c r="A11">
        <v>22</v>
      </c>
      <c r="B11" t="s">
        <v>55</v>
      </c>
      <c r="C11" t="s">
        <v>56</v>
      </c>
      <c r="D11" s="6">
        <v>46086</v>
      </c>
      <c r="E11" t="s">
        <v>57</v>
      </c>
      <c r="F11">
        <v>3</v>
      </c>
      <c r="G11">
        <v>4</v>
      </c>
      <c r="H11" t="s">
        <v>26</v>
      </c>
    </row>
    <row r="12" spans="1:12" x14ac:dyDescent="0.25">
      <c r="A12">
        <v>21</v>
      </c>
      <c r="B12" t="s">
        <v>58</v>
      </c>
      <c r="C12" t="s">
        <v>59</v>
      </c>
      <c r="D12" s="6">
        <v>46086</v>
      </c>
      <c r="E12" t="s">
        <v>57</v>
      </c>
      <c r="F12">
        <v>3</v>
      </c>
      <c r="G12">
        <v>4</v>
      </c>
      <c r="H12" t="s">
        <v>26</v>
      </c>
    </row>
    <row r="13" spans="1:12" x14ac:dyDescent="0.25">
      <c r="A13">
        <v>20</v>
      </c>
      <c r="B13" t="s">
        <v>60</v>
      </c>
      <c r="C13" t="s">
        <v>61</v>
      </c>
      <c r="D13" s="6">
        <v>46086</v>
      </c>
      <c r="E13" t="s">
        <v>57</v>
      </c>
      <c r="F13">
        <v>3</v>
      </c>
      <c r="G13">
        <v>4</v>
      </c>
      <c r="H13" t="s">
        <v>26</v>
      </c>
    </row>
    <row r="14" spans="1:12" x14ac:dyDescent="0.25">
      <c r="A14">
        <v>19</v>
      </c>
      <c r="B14" t="s">
        <v>62</v>
      </c>
      <c r="C14" t="s">
        <v>63</v>
      </c>
      <c r="D14" s="6">
        <v>46086</v>
      </c>
      <c r="E14" t="s">
        <v>20</v>
      </c>
      <c r="F14">
        <v>3</v>
      </c>
      <c r="G14">
        <v>4</v>
      </c>
      <c r="H14" t="s">
        <v>26</v>
      </c>
    </row>
    <row r="15" spans="1:12" x14ac:dyDescent="0.25">
      <c r="A15">
        <v>17</v>
      </c>
      <c r="B15" t="s">
        <v>64</v>
      </c>
      <c r="C15" t="s">
        <v>65</v>
      </c>
      <c r="D15" s="6">
        <v>46086</v>
      </c>
      <c r="E15" t="s">
        <v>13</v>
      </c>
      <c r="F15">
        <v>3</v>
      </c>
      <c r="G15">
        <v>3</v>
      </c>
      <c r="H15" t="s">
        <v>26</v>
      </c>
    </row>
    <row r="16" spans="1:12" x14ac:dyDescent="0.25">
      <c r="A16">
        <v>11</v>
      </c>
      <c r="B16" t="s">
        <v>29</v>
      </c>
      <c r="C16" t="s">
        <v>30</v>
      </c>
      <c r="D16" s="6">
        <v>46086</v>
      </c>
      <c r="E16" t="s">
        <v>13</v>
      </c>
      <c r="F16">
        <v>3</v>
      </c>
      <c r="G16">
        <v>4</v>
      </c>
      <c r="H16" t="s">
        <v>23</v>
      </c>
    </row>
    <row r="17" spans="1:8" x14ac:dyDescent="0.25">
      <c r="A17">
        <v>23</v>
      </c>
      <c r="B17" t="s">
        <v>66</v>
      </c>
      <c r="C17" t="s">
        <v>67</v>
      </c>
      <c r="D17" s="6">
        <v>46086</v>
      </c>
      <c r="E17" t="s">
        <v>57</v>
      </c>
      <c r="F17">
        <v>3</v>
      </c>
      <c r="G17">
        <v>4</v>
      </c>
      <c r="H17" t="s">
        <v>26</v>
      </c>
    </row>
    <row r="18" spans="1:8" x14ac:dyDescent="0.25">
      <c r="A18">
        <v>10</v>
      </c>
      <c r="B18" t="s">
        <v>31</v>
      </c>
      <c r="C18" t="s">
        <v>32</v>
      </c>
      <c r="D18" s="6">
        <v>46094</v>
      </c>
      <c r="E18" t="s">
        <v>33</v>
      </c>
      <c r="F18">
        <v>3</v>
      </c>
      <c r="G18">
        <v>3</v>
      </c>
      <c r="H18" t="s">
        <v>23</v>
      </c>
    </row>
    <row r="19" spans="1:8" x14ac:dyDescent="0.25">
      <c r="A19">
        <v>18</v>
      </c>
      <c r="B19" t="s">
        <v>68</v>
      </c>
      <c r="C19" t="s">
        <v>69</v>
      </c>
      <c r="D19" s="6">
        <v>46095</v>
      </c>
      <c r="E19" t="s">
        <v>70</v>
      </c>
      <c r="F19">
        <v>1</v>
      </c>
      <c r="G19">
        <v>2</v>
      </c>
      <c r="H19" t="s">
        <v>26</v>
      </c>
    </row>
    <row r="20" spans="1:8" x14ac:dyDescent="0.25">
      <c r="A20">
        <v>9</v>
      </c>
      <c r="B20" t="s">
        <v>21</v>
      </c>
      <c r="C20" t="s">
        <v>22</v>
      </c>
      <c r="D20" s="6">
        <v>46125</v>
      </c>
      <c r="E20" t="s">
        <v>34</v>
      </c>
      <c r="F20">
        <v>3</v>
      </c>
      <c r="G20">
        <v>3</v>
      </c>
      <c r="H20" t="s">
        <v>23</v>
      </c>
    </row>
    <row r="21" spans="1:8" x14ac:dyDescent="0.25">
      <c r="A21">
        <v>15</v>
      </c>
      <c r="B21" t="s">
        <v>35</v>
      </c>
      <c r="C21" t="s">
        <v>36</v>
      </c>
      <c r="D21" s="6">
        <v>46179</v>
      </c>
      <c r="E21" t="s">
        <v>20</v>
      </c>
      <c r="F21">
        <v>6</v>
      </c>
      <c r="G21">
        <v>5</v>
      </c>
      <c r="H21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0" sqref="M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B7" sqref="B7"/>
    </sheetView>
  </sheetViews>
  <sheetFormatPr baseColWidth="10" defaultRowHeight="15" x14ac:dyDescent="0.25"/>
  <cols>
    <col min="1" max="1" width="14.140625" customWidth="1"/>
    <col min="2" max="2" width="10.7109375" customWidth="1"/>
  </cols>
  <sheetData>
    <row r="1" spans="1:7" ht="15" customHeight="1" x14ac:dyDescent="0.25">
      <c r="A1" s="2" t="s">
        <v>7</v>
      </c>
      <c r="B1" s="2" t="s">
        <v>37</v>
      </c>
      <c r="F1" s="3" t="s">
        <v>52</v>
      </c>
      <c r="G1" s="5" t="s">
        <v>37</v>
      </c>
    </row>
    <row r="2" spans="1:7" x14ac:dyDescent="0.25">
      <c r="A2" t="s">
        <v>26</v>
      </c>
      <c r="B2" s="1">
        <f>COUNTIF(Historial!H:H, "Pendiente")</f>
        <v>11</v>
      </c>
      <c r="F2" s="1">
        <v>1</v>
      </c>
      <c r="G2">
        <f>COUNTIF(Historial!F:F, "1")</f>
        <v>2</v>
      </c>
    </row>
    <row r="3" spans="1:7" x14ac:dyDescent="0.25">
      <c r="A3" t="s">
        <v>23</v>
      </c>
      <c r="B3" s="1">
        <f>COUNTIF(Historial!H:H, "Cancelada")</f>
        <v>4</v>
      </c>
      <c r="F3" s="1">
        <v>2</v>
      </c>
      <c r="G3">
        <f>COUNTIF(Historial!F:F, "2")</f>
        <v>0</v>
      </c>
    </row>
    <row r="4" spans="1:7" x14ac:dyDescent="0.25">
      <c r="A4" t="s">
        <v>10</v>
      </c>
      <c r="B4" s="1">
        <f>COUNTIF(Historial!H:H,  "Completada")</f>
        <v>5</v>
      </c>
      <c r="F4" s="1">
        <v>3</v>
      </c>
      <c r="G4">
        <f>COUNTIF(Historial!F:F, "3")</f>
        <v>14</v>
      </c>
    </row>
    <row r="5" spans="1:7" x14ac:dyDescent="0.25">
      <c r="F5" s="1">
        <v>4</v>
      </c>
      <c r="G5">
        <f>COUNTIF(Historial!F:F, "4")</f>
        <v>0</v>
      </c>
    </row>
    <row r="6" spans="1:7" x14ac:dyDescent="0.25">
      <c r="A6" s="3" t="s">
        <v>39</v>
      </c>
      <c r="B6" s="3" t="s">
        <v>37</v>
      </c>
      <c r="D6" s="4">
        <f>MAX(B6:B17)</f>
        <v>11</v>
      </c>
      <c r="F6" s="1">
        <v>5</v>
      </c>
      <c r="G6">
        <f>COUNTIF(Historial!F:F, "5")</f>
        <v>0</v>
      </c>
    </row>
    <row r="7" spans="1:7" x14ac:dyDescent="0.25">
      <c r="A7" s="1" t="s">
        <v>40</v>
      </c>
      <c r="B7" s="1">
        <f>COUNTIFS(Historial!D:D, "&gt;="&amp;DATE(2026,1,1),Historial!D:D, "&lt;="&amp;DATE(2026,1,31))</f>
        <v>0</v>
      </c>
      <c r="F7" s="1">
        <v>6</v>
      </c>
      <c r="G7">
        <f>COUNTIF(Historial!F:F, "6")</f>
        <v>3</v>
      </c>
    </row>
    <row r="8" spans="1:7" x14ac:dyDescent="0.25">
      <c r="A8" s="1" t="s">
        <v>41</v>
      </c>
      <c r="B8" s="1">
        <f>COUNTIFS(Historial!D:D, "&gt;="&amp;DATE(2026,2,1),Historial!D:D, "&lt;="&amp;DATE(2026,2,29))</f>
        <v>7</v>
      </c>
      <c r="F8" s="1">
        <v>7</v>
      </c>
      <c r="G8">
        <f>COUNTIF(Historial!F:F, "7")</f>
        <v>0</v>
      </c>
    </row>
    <row r="9" spans="1:7" x14ac:dyDescent="0.25">
      <c r="A9" s="1" t="s">
        <v>42</v>
      </c>
      <c r="B9" s="1">
        <f>COUNTIFS(Historial!D:D, "&gt;="&amp;DATE(2026,3,1), Historial!D:D, "&lt;="&amp;DATE(2026,3,31))</f>
        <v>11</v>
      </c>
      <c r="F9" s="1">
        <v>8</v>
      </c>
      <c r="G9">
        <f>COUNTIF(Historial!F:F, "8")</f>
        <v>1</v>
      </c>
    </row>
    <row r="10" spans="1:7" x14ac:dyDescent="0.25">
      <c r="A10" s="1" t="s">
        <v>43</v>
      </c>
      <c r="B10" s="1">
        <f>COUNTIFS(Historial!D:D, "&gt;="&amp;DATE(2026,4,1),Historial!D:D, "&lt;="&amp;DATE(2026,4,30))</f>
        <v>1</v>
      </c>
      <c r="F10" s="1">
        <v>9</v>
      </c>
      <c r="G10">
        <f>COUNTIF(Historial!F:F, "9")</f>
        <v>0</v>
      </c>
    </row>
    <row r="11" spans="1:7" x14ac:dyDescent="0.25">
      <c r="A11" s="1" t="s">
        <v>44</v>
      </c>
      <c r="B11" s="1">
        <f>COUNTIFS(Historial!D:D, "&gt;="&amp;DATE(2026,5,1),Historial!D:D, "&lt;="&amp;DATE(2026,5,31))</f>
        <v>0</v>
      </c>
      <c r="F11" s="1">
        <v>10</v>
      </c>
      <c r="G11">
        <f>COUNTIF(Historial!F:F, "10")</f>
        <v>0</v>
      </c>
    </row>
    <row r="12" spans="1:7" x14ac:dyDescent="0.25">
      <c r="A12" s="1" t="s">
        <v>45</v>
      </c>
      <c r="B12" s="1">
        <f>COUNTIFS(Historial!D:D, "&gt;="&amp;DATE(2026,6,1),Historial!D:D, "&lt;="&amp;DATE(2026,6,30))</f>
        <v>1</v>
      </c>
    </row>
    <row r="13" spans="1:7" x14ac:dyDescent="0.25">
      <c r="A13" s="1" t="s">
        <v>46</v>
      </c>
      <c r="B13" s="1">
        <f>COUNTIFS(Historial!D:D, "&gt;="&amp;DATE(2026,7,1),Historial!D:D, "&lt;="&amp;DATE(2026,7,31))</f>
        <v>0</v>
      </c>
    </row>
    <row r="14" spans="1:7" x14ac:dyDescent="0.25">
      <c r="A14" s="1" t="s">
        <v>47</v>
      </c>
      <c r="B14" s="1">
        <f>COUNTIFS(Historial!D:D, "&gt;="&amp;DATE(2026,8,1),Historial!D:D, "&lt;="&amp;DATE(2026,8,31))</f>
        <v>0</v>
      </c>
    </row>
    <row r="15" spans="1:7" x14ac:dyDescent="0.25">
      <c r="A15" s="1" t="s">
        <v>48</v>
      </c>
      <c r="B15" s="1">
        <f>COUNTIFS(Historial!D:D, "&gt;="&amp;DATE(2026,9,1),Historial!D:D, "&lt;="&amp;DATE(2026,9,31))</f>
        <v>0</v>
      </c>
    </row>
    <row r="16" spans="1:7" x14ac:dyDescent="0.25">
      <c r="A16" s="1" t="s">
        <v>49</v>
      </c>
      <c r="B16" s="1">
        <f>COUNTIFS(Historial!D:D, "&gt;="&amp;DATE(2026,10,1),Historial!D:D, "&lt;="&amp;DATE(2026,10,31))</f>
        <v>0</v>
      </c>
    </row>
    <row r="17" spans="1:2" x14ac:dyDescent="0.25">
      <c r="A17" s="1" t="s">
        <v>50</v>
      </c>
      <c r="B17" s="1">
        <f>COUNTIFS(Historial!D:D, "&gt;="&amp;DATE(2026,11,1),Historial!D:D, "&lt;="&amp;DATE(2026,11,31))</f>
        <v>0</v>
      </c>
    </row>
    <row r="18" spans="1:2" x14ac:dyDescent="0.25">
      <c r="A18" s="1" t="s">
        <v>51</v>
      </c>
      <c r="B18" s="1">
        <f>COUNTIFS(Historial!D:D, "&gt;="&amp;DATE(2026,12,1),Historial!D:D, "&lt;="&amp;DATE(2026,12,31))</f>
        <v>0</v>
      </c>
    </row>
    <row r="20" spans="1:2" x14ac:dyDescent="0.25">
      <c r="A20" s="3"/>
      <c r="B2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Historial</vt:lpstr>
      <vt:lpstr>Graficos</vt:lpstr>
      <vt:lpstr>Tablas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Noel</cp:lastModifiedBy>
  <dcterms:created xsi:type="dcterms:W3CDTF">2026-02-22T17:16:17Z</dcterms:created>
  <dcterms:modified xsi:type="dcterms:W3CDTF">2026-02-24T02:28:29Z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